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rwatjabeen/Desktop/ethyl-acetate/"/>
    </mc:Choice>
  </mc:AlternateContent>
  <xr:revisionPtr revIDLastSave="0" documentId="13_ncr:1_{8D25E897-3E49-9843-ABBC-970E27021712}" xr6:coauthVersionLast="47" xr6:coauthVersionMax="47" xr10:uidLastSave="{00000000-0000-0000-0000-000000000000}"/>
  <bookViews>
    <workbookView xWindow="5000" yWindow="1180" windowWidth="28040" windowHeight="17440" activeTab="1" xr2:uid="{7F7D1E45-704E-8342-ACC9-340CD9C76B0E}"/>
  </bookViews>
  <sheets>
    <sheet name="PivotTables&amp;Charts" sheetId="2" r:id="rId1"/>
    <sheet name="LookUp" sheetId="3" r:id="rId2"/>
    <sheet name="RawData" sheetId="1" r:id="rId3"/>
  </sheets>
  <externalReferences>
    <externalReference r:id="rId4"/>
  </externalReferences>
  <calcPr calcId="181029"/>
  <pivotCaches>
    <pivotCache cacheId="14" r:id="rId5"/>
    <pivotCache cacheId="16" r:id="rId6"/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 a="1"/>
  <c r="B22" i="3" s="1"/>
  <c r="B18" i="3"/>
  <c r="B17" i="3"/>
  <c r="B16" i="3"/>
  <c r="B12" i="3"/>
  <c r="B11" i="3"/>
  <c r="B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<sst xmlns="http://schemas.openxmlformats.org/spreadsheetml/2006/main" count="67" uniqueCount="23">
  <si>
    <t>Pressure (bar)</t>
  </si>
  <si>
    <t>Purity</t>
  </si>
  <si>
    <t>Feed Ratio</t>
  </si>
  <si>
    <t>Conversion</t>
  </si>
  <si>
    <t>Reflux Ratio</t>
  </si>
  <si>
    <t>Row Labels</t>
  </si>
  <si>
    <t>Grand Total</t>
  </si>
  <si>
    <t>Average of Annual Utility Cost</t>
  </si>
  <si>
    <t>Average of Purity</t>
  </si>
  <si>
    <t>Selected Conditions</t>
  </si>
  <si>
    <t>Value</t>
  </si>
  <si>
    <t>Selected Results</t>
  </si>
  <si>
    <t>Ethyl Acetate Process LookUp</t>
  </si>
  <si>
    <t>Pressure LookUp</t>
  </si>
  <si>
    <t>Feed Ratio LookUp</t>
  </si>
  <si>
    <t>Annual Utility Cost ($)</t>
  </si>
  <si>
    <t>Annual Cost ($)</t>
  </si>
  <si>
    <t>Total Energy (GJ)</t>
  </si>
  <si>
    <t>Reboiler Duty (Gcal)</t>
  </si>
  <si>
    <t>Condenser Duty (Gcal)</t>
  </si>
  <si>
    <t>Average of Annual Utility Cost ($)</t>
  </si>
  <si>
    <t>Average of Total Energy (GJ)</t>
  </si>
  <si>
    <t>Reflux Ratio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</si>
</sst>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26"/>
      <color theme="1"/>
      <name val="Aptos Narrow (Body)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3" fillId="0" borderId="0" xfId="0" applyFont="1"/>
    <xf numFmtId="0" fontId="0" fillId="0" borderId="0" xfId="0" applyBorder="1"/>
    <xf numFmtId="0" fontId="4" fillId="0" borderId="1" xfId="0" applyFont="1" applyBorder="1"/>
    <xf numFmtId="0" fontId="5" fillId="0" borderId="0" xfId="0" applyFont="1" applyFill="1" applyBorder="1"/>
    <xf numFmtId="0" fontId="5" fillId="0" borderId="0" xfId="0" applyFont="1"/>
    <xf numFmtId="0" fontId="2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0" fontId="2" fillId="2" borderId="3" xfId="0" applyFont="1" applyFill="1" applyBorder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[ethylexcel.xlsx]PivotTables&amp;Charts!PivotTable4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'PivotTables&amp;Charts'!$G$3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'PivotTables&amp;Charts'!$F$4:$F$13</c:f>
              <c:strCach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</c:strCache>
            </c:strRef>
          </c:cat>
          <c:val>
            <c:numRef>
              <c:f>'PivotTables&amp;Charts'!$G$4:$G$13</c:f>
              <c:numCache>
                <c:formatCode>General</c:formatCode>
                <c:ptCount val="9"/>
                <c:pt idx="0">
                  <c:v>703430.78955711995</c:v>
                </c:pt>
                <c:pt idx="1">
                  <c:v>713331.58607455995</c:v>
                </c:pt>
                <c:pt idx="2">
                  <c:v>721230.23533088004</c:v>
                </c:pt>
                <c:pt idx="3">
                  <c:v>727914.70435583999</c:v>
                </c:pt>
                <c:pt idx="4">
                  <c:v>733767.28188223997</c:v>
                </c:pt>
                <c:pt idx="5">
                  <c:v>739005.99531328003</c:v>
                </c:pt>
                <c:pt idx="6">
                  <c:v>743768.62460575998</c:v>
                </c:pt>
                <c:pt idx="7">
                  <c:v>748148.59429568006</c:v>
                </c:pt>
                <c:pt idx="8">
                  <c:v>752212.65976832004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C-914D-9FBB-4AF733098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869888"/>
        <c:axId val="1063871680"/>
      </c:barChart>
      <c:catAx>
        <c:axId val="10638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063871680"/>
        <c:crosses val="autoZero"/>
        <c:auto val="1"/>
        <c:lblAlgn val="ctr"/>
        <c:lblOffset val="100"/>
        <c:noMultiLvlLbl val="0"/>
      </c:catAx>
      <c:valAx>
        <c:axId val="10638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06386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[ethylexcel.xlsx]PivotTables&amp;Charts!PivotTable5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'PivotTables&amp;Charts'!$G$16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'PivotTables&amp;Charts'!$F$17:$F$33</c:f>
              <c:strCache>
                <c:ptCount val="1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</c:strCache>
            </c:strRef>
          </c:cat>
          <c:val>
            <c:numRef>
              <c:f>'PivotTables&amp;Charts'!$G$17:$G$33</c:f>
              <c:numCache>
                <c:formatCode>General</c:formatCode>
                <c:ptCount val="16"/>
                <c:pt idx="0">
                  <c:v>714359.08944736002</c:v>
                </c:pt>
                <c:pt idx="1">
                  <c:v>685047.63812736003</c:v>
                </c:pt>
                <c:pt idx="2">
                  <c:v>706560.05252832</c:v>
                </c:pt>
                <c:pt idx="3">
                  <c:v>704535.06246815994</c:v>
                </c:pt>
                <c:pt idx="4">
                  <c:v>703315.16505184001</c:v>
                </c:pt>
                <c:pt idx="5">
                  <c:v>703430.12697888003</c:v>
                </c:pt>
                <c:pt idx="6">
                  <c:v>705041.56596031995</c:v>
                </c:pt>
                <c:pt idx="7">
                  <c:v>706167.74880576006</c:v>
                </c:pt>
                <c:pt idx="8">
                  <c:v>706864.69124191999</c:v>
                </c:pt>
                <c:pt idx="9">
                  <c:v>707523.45149824</c:v>
                </c:pt>
                <c:pt idx="10">
                  <c:v>708039.04297312</c:v>
                </c:pt>
                <c:pt idx="11">
                  <c:v>708638.09855360002</c:v>
                </c:pt>
                <c:pt idx="12">
                  <c:v>708587.75716767996</c:v>
                </c:pt>
                <c:pt idx="13">
                  <c:v>708494.31505888002</c:v>
                </c:pt>
                <c:pt idx="14">
                  <c:v>708403.11808448005</c:v>
                </c:pt>
                <c:pt idx="15">
                  <c:v>708381.49969119998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8-5945-9B8F-1980F0CD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854592"/>
        <c:axId val="1059549888"/>
      </c:barChart>
      <c:catAx>
        <c:axId val="105885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059549888"/>
        <c:crosses val="autoZero"/>
        <c:auto val="1"/>
        <c:lblAlgn val="ctr"/>
        <c:lblOffset val="100"/>
        <c:noMultiLvlLbl val="0"/>
      </c:catAx>
      <c:valAx>
        <c:axId val="10595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05885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[ethylexcel.xlsx]PivotTables&amp;Charts!PivotTable6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'PivotTables&amp;Charts'!$G$35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'PivotTables&amp;Charts'!$F$36:$F$45</c:f>
              <c:strCach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</c:strCache>
            </c:strRef>
          </c:cat>
          <c:val>
            <c:numRef>
              <c:f>'PivotTables&amp;Charts'!$G$36:$G$45</c:f>
              <c:numCache>
                <c:formatCode>General</c:formatCode>
                <c:ptCount val="9"/>
                <c:pt idx="0">
                  <c:v>490507.21994585602</c:v>
                </c:pt>
                <c:pt idx="1">
                  <c:v>596989.59491840005</c:v>
                </c:pt>
                <c:pt idx="2">
                  <c:v>703429.01704735996</c:v>
                </c:pt>
                <c:pt idx="3">
                  <c:v>809844.20929759997</c:v>
                </c:pt>
                <c:pt idx="4">
                  <c:v>916246.36386912002</c:v>
                </c:pt>
                <c:pt idx="5">
                  <c:v>1022641.246816</c:v>
                </c:pt>
                <c:pt idx="6">
                  <c:v>1129031.83162336</c:v>
                </c:pt>
                <c:pt idx="7">
                  <c:v>1235419.725784</c:v>
                </c:pt>
                <c:pt idx="8">
                  <c:v>1341805.86634656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E-DA48-BBBD-04AA8B0E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092672"/>
        <c:axId val="1061080128"/>
      </c:barChart>
      <c:catAx>
        <c:axId val="10610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061080128"/>
        <c:crosses val="autoZero"/>
        <c:auto val="1"/>
        <c:lblAlgn val="ctr"/>
        <c:lblOffset val="100"/>
        <c:noMultiLvlLbl val="0"/>
      </c:catAx>
      <c:valAx>
        <c:axId val="10610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0610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12700</xdr:rowOff>
    </xdr:from>
    <xdr:to>
      <xdr:col>10</xdr:col>
      <xdr:colOff>450850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3659A-5EE5-1D53-3BF6-89E876277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260350</xdr:colOff>
      <xdr:row>14</xdr:row>
      <xdr:rowOff>184150</xdr:rowOff>
    </xdr:from>
    <xdr:to>
      <xdr:col>12</xdr:col>
      <xdr:colOff>101600</xdr:colOff>
      <xdr:row>33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B16C1-01B8-0AC6-AAE2-BD9B4D0FF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285750</xdr:colOff>
      <xdr:row>33</xdr:row>
      <xdr:rowOff>133350</xdr:rowOff>
    </xdr:from>
    <xdr:to>
      <xdr:col>8</xdr:col>
      <xdr:colOff>260350</xdr:colOff>
      <xdr:row>47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80A6C5-8A01-3AA9-F188-092FBD8D2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Tables&amp;Charts"/>
      <sheetName val="LookUp"/>
      <sheetName val="RawData"/>
      <sheetName val="Data"/>
    </sheetNames>
    <sheetDataSet>
      <sheetData sheetId="0"/>
      <sheetData sheetId="1"/>
      <sheetData sheetId="2">
        <row r="2">
          <cell r="A2">
            <v>1</v>
          </cell>
          <cell r="B2">
            <v>0.60287190099999999</v>
          </cell>
          <cell r="E2">
            <v>2.59016351</v>
          </cell>
          <cell r="F2">
            <v>703430.78955711995</v>
          </cell>
        </row>
        <row r="3">
          <cell r="A3">
            <v>1.5</v>
          </cell>
          <cell r="B3">
            <v>0.57590917799999997</v>
          </cell>
          <cell r="E3">
            <v>2.58861243</v>
          </cell>
          <cell r="F3">
            <v>713331.58607455995</v>
          </cell>
        </row>
        <row r="4">
          <cell r="A4">
            <v>2</v>
          </cell>
          <cell r="B4">
            <v>0.55548142599999994</v>
          </cell>
          <cell r="E4">
            <v>2.5882360599999998</v>
          </cell>
          <cell r="F4">
            <v>721230.23533088004</v>
          </cell>
        </row>
        <row r="5">
          <cell r="A5">
            <v>2.5</v>
          </cell>
          <cell r="B5">
            <v>0.53888078900000003</v>
          </cell>
          <cell r="E5">
            <v>2.5883918399999999</v>
          </cell>
          <cell r="F5">
            <v>727914.70435583999</v>
          </cell>
        </row>
        <row r="6">
          <cell r="A6">
            <v>3</v>
          </cell>
          <cell r="B6">
            <v>0.52482904900000005</v>
          </cell>
          <cell r="E6">
            <v>2.5888148700000002</v>
          </cell>
          <cell r="F6">
            <v>733767.28188223997</v>
          </cell>
        </row>
        <row r="7">
          <cell r="A7">
            <v>3.5</v>
          </cell>
          <cell r="B7">
            <v>0.512612069</v>
          </cell>
          <cell r="E7">
            <v>2.5893738499999999</v>
          </cell>
          <cell r="F7">
            <v>739005.99531328003</v>
          </cell>
        </row>
        <row r="8">
          <cell r="A8">
            <v>4</v>
          </cell>
          <cell r="B8">
            <v>0.50178672499999999</v>
          </cell>
          <cell r="E8">
            <v>2.5899968900000001</v>
          </cell>
          <cell r="F8">
            <v>743768.62460575998</v>
          </cell>
        </row>
        <row r="9">
          <cell r="A9">
            <v>4.5</v>
          </cell>
          <cell r="B9">
            <v>0.49205747399999999</v>
          </cell>
          <cell r="E9">
            <v>2.59064198</v>
          </cell>
          <cell r="F9">
            <v>748148.59429568006</v>
          </cell>
        </row>
        <row r="10">
          <cell r="A10">
            <v>5</v>
          </cell>
          <cell r="B10">
            <v>0.48321649900000002</v>
          </cell>
          <cell r="E10">
            <v>2.5912836700000001</v>
          </cell>
          <cell r="F10">
            <v>752212.65976832004</v>
          </cell>
        </row>
        <row r="13">
          <cell r="A13">
            <v>0.5</v>
          </cell>
          <cell r="C13">
            <v>0.65970572500000002</v>
          </cell>
          <cell r="F13">
            <v>2.61260767</v>
          </cell>
          <cell r="G13">
            <v>714359.08944736002</v>
          </cell>
        </row>
        <row r="14">
          <cell r="A14">
            <v>0.6</v>
          </cell>
          <cell r="C14">
            <v>0.73848061099999995</v>
          </cell>
          <cell r="F14">
            <v>2.49990275</v>
          </cell>
          <cell r="G14">
            <v>685047.63812736003</v>
          </cell>
        </row>
        <row r="15">
          <cell r="A15">
            <v>0.7</v>
          </cell>
          <cell r="C15">
            <v>0.66019884600000001</v>
          </cell>
          <cell r="F15">
            <v>2.5931451600000002</v>
          </cell>
          <cell r="G15">
            <v>706560.05252832</v>
          </cell>
        </row>
        <row r="16">
          <cell r="A16">
            <v>0.8</v>
          </cell>
          <cell r="C16">
            <v>0.65075065099999996</v>
          </cell>
          <cell r="F16">
            <v>2.5896747900000001</v>
          </cell>
          <cell r="G16">
            <v>704535.06246815994</v>
          </cell>
        </row>
        <row r="17">
          <cell r="A17">
            <v>0.9</v>
          </cell>
          <cell r="C17">
            <v>0.633392646</v>
          </cell>
          <cell r="F17">
            <v>2.5882053699999998</v>
          </cell>
          <cell r="G17">
            <v>703315.16505184001</v>
          </cell>
        </row>
        <row r="18">
          <cell r="A18">
            <v>1</v>
          </cell>
          <cell r="C18">
            <v>0.60287059799999998</v>
          </cell>
          <cell r="F18">
            <v>2.5901598799999999</v>
          </cell>
          <cell r="G18">
            <v>703430.12697888003</v>
          </cell>
        </row>
        <row r="19">
          <cell r="A19">
            <v>1.1000000000000001</v>
          </cell>
          <cell r="C19">
            <v>0.56326374599999995</v>
          </cell>
          <cell r="F19">
            <v>2.5962881499999999</v>
          </cell>
          <cell r="G19">
            <v>705041.56596031995</v>
          </cell>
        </row>
        <row r="20">
          <cell r="A20">
            <v>1.2</v>
          </cell>
          <cell r="C20">
            <v>0.54543500700000003</v>
          </cell>
          <cell r="F20">
            <v>2.6004345899999999</v>
          </cell>
          <cell r="G20">
            <v>706167.74880576006</v>
          </cell>
        </row>
        <row r="21">
          <cell r="A21">
            <v>1.3</v>
          </cell>
          <cell r="C21">
            <v>0.54128266700000005</v>
          </cell>
          <cell r="F21">
            <v>2.60250856</v>
          </cell>
          <cell r="G21">
            <v>706864.69124191999</v>
          </cell>
        </row>
        <row r="22">
          <cell r="A22">
            <v>1.4</v>
          </cell>
          <cell r="C22">
            <v>0.538614331</v>
          </cell>
          <cell r="F22">
            <v>2.6042997699999999</v>
          </cell>
          <cell r="G22">
            <v>707523.45149824</v>
          </cell>
        </row>
        <row r="23">
          <cell r="A23">
            <v>1.5</v>
          </cell>
          <cell r="C23">
            <v>0.53673884500000002</v>
          </cell>
          <cell r="F23">
            <v>2.6052742200000001</v>
          </cell>
          <cell r="G23">
            <v>708039.04297312</v>
          </cell>
        </row>
        <row r="24">
          <cell r="A24">
            <v>1.6</v>
          </cell>
          <cell r="C24">
            <v>0.53479268099999999</v>
          </cell>
          <cell r="F24">
            <v>2.6068367600000002</v>
          </cell>
          <cell r="G24">
            <v>708638.09855360002</v>
          </cell>
        </row>
        <row r="25">
          <cell r="A25">
            <v>1.7</v>
          </cell>
          <cell r="C25">
            <v>0.53219609800000001</v>
          </cell>
          <cell r="F25">
            <v>2.60698747</v>
          </cell>
          <cell r="G25">
            <v>708587.75716767996</v>
          </cell>
        </row>
        <row r="26">
          <cell r="A26">
            <v>1.8</v>
          </cell>
          <cell r="C26">
            <v>0.52997492099999999</v>
          </cell>
          <cell r="F26">
            <v>2.60695042</v>
          </cell>
          <cell r="G26">
            <v>708494.31505888002</v>
          </cell>
        </row>
        <row r="27">
          <cell r="A27">
            <v>1.9</v>
          </cell>
          <cell r="C27">
            <v>0.52813170399999998</v>
          </cell>
          <cell r="F27">
            <v>2.6068630800000001</v>
          </cell>
          <cell r="G27">
            <v>708403.11808448005</v>
          </cell>
        </row>
        <row r="28">
          <cell r="A28">
            <v>2</v>
          </cell>
          <cell r="C28">
            <v>0.52646981500000001</v>
          </cell>
          <cell r="F28">
            <v>2.6069558100000001</v>
          </cell>
          <cell r="G28">
            <v>708381.49969119998</v>
          </cell>
        </row>
        <row r="31">
          <cell r="A31">
            <v>1</v>
          </cell>
          <cell r="B31">
            <v>0.60660325699999995</v>
          </cell>
          <cell r="E31">
            <v>1.769548414</v>
          </cell>
          <cell r="F31">
            <v>490507.21994585602</v>
          </cell>
        </row>
        <row r="32">
          <cell r="A32">
            <v>1.5</v>
          </cell>
          <cell r="B32">
            <v>0.60415378200000003</v>
          </cell>
          <cell r="E32">
            <v>2.1799051999999999</v>
          </cell>
          <cell r="F32">
            <v>596989.59491840005</v>
          </cell>
        </row>
        <row r="33">
          <cell r="A33">
            <v>2</v>
          </cell>
          <cell r="B33">
            <v>0.60287156399999997</v>
          </cell>
          <cell r="E33">
            <v>2.59015475</v>
          </cell>
          <cell r="F33">
            <v>703429.01704735996</v>
          </cell>
        </row>
        <row r="34">
          <cell r="A34">
            <v>2.5</v>
          </cell>
          <cell r="B34">
            <v>0.602173034</v>
          </cell>
          <cell r="E34">
            <v>3.0003412800000002</v>
          </cell>
          <cell r="F34">
            <v>809844.20929759997</v>
          </cell>
        </row>
        <row r="35">
          <cell r="A35">
            <v>3</v>
          </cell>
          <cell r="B35">
            <v>0.60176305900000004</v>
          </cell>
          <cell r="E35">
            <v>3.4104926400000002</v>
          </cell>
          <cell r="F35">
            <v>916246.36386912002</v>
          </cell>
        </row>
        <row r="36">
          <cell r="A36">
            <v>3.5</v>
          </cell>
          <cell r="B36">
            <v>0.60150464800000003</v>
          </cell>
          <cell r="E36">
            <v>3.8206239200000001</v>
          </cell>
          <cell r="F36">
            <v>1022641.246816</v>
          </cell>
        </row>
        <row r="37">
          <cell r="A37">
            <v>4</v>
          </cell>
          <cell r="B37">
            <v>0.601331752</v>
          </cell>
          <cell r="E37">
            <v>4.2307431400000004</v>
          </cell>
          <cell r="F37">
            <v>1129031.83162336</v>
          </cell>
        </row>
        <row r="38">
          <cell r="A38">
            <v>4.5</v>
          </cell>
          <cell r="B38">
            <v>0.60121032399999996</v>
          </cell>
          <cell r="E38">
            <v>4.6408547100000002</v>
          </cell>
          <cell r="F38">
            <v>1235419.725784</v>
          </cell>
        </row>
        <row r="39">
          <cell r="A39">
            <v>5</v>
          </cell>
          <cell r="B39">
            <v>0.60112161399999997</v>
          </cell>
          <cell r="E39">
            <v>5.0509612600000002</v>
          </cell>
          <cell r="F39">
            <v>1341805.86634656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wat Jabeen" refreshedDate="46243.996768750003" createdVersion="8" refreshedVersion="8" minRefreshableVersion="3" recordCount="9" xr:uid="{5ADD6687-0107-9943-A2DA-FBC3B6BC321C}">
  <cacheSource type="worksheet">
    <worksheetSource name="Table1"/>
  </cacheSource>
  <cacheFields count="6">
    <cacheField name="Pressure (bar)" numFmtId="0">
      <sharedItems containsSemiMixedTypes="0" containsString="0" containsNumber="1" minValue="1" maxValue="5" count="9">
        <n v="1"/>
        <n v="1.5"/>
        <n v="2"/>
        <n v="2.5"/>
        <n v="3"/>
        <n v="3.5"/>
        <n v="4"/>
        <n v="4.5"/>
        <n v="5"/>
      </sharedItems>
    </cacheField>
    <cacheField name="Purity" numFmtId="0">
      <sharedItems containsSemiMixedTypes="0" containsString="0" containsNumber="1" minValue="0.48321649900000002" maxValue="0.60287190099999999" count="9">
        <n v="0.60287190099999999"/>
        <n v="0.57590917799999997"/>
        <n v="0.55548142599999994"/>
        <n v="0.53888078900000003"/>
        <n v="0.52482904900000005"/>
        <n v="0.512612069"/>
        <n v="0.50178672499999999"/>
        <n v="0.49205747399999999"/>
        <n v="0.48321649900000002"/>
      </sharedItems>
    </cacheField>
    <cacheField name="Condenser Duty" numFmtId="0">
      <sharedItems containsSemiMixedTypes="0" containsString="0" containsNumber="1" minValue="-1.2301347199999999" maxValue="-1.1307836200000001"/>
    </cacheField>
    <cacheField name="Reboiler Duty" numFmtId="0">
      <sharedItems containsSemiMixedTypes="0" containsString="0" containsNumber="1" minValue="1.3600287900000001" maxValue="1.46050005"/>
    </cacheField>
    <cacheField name="Total Energy" numFmtId="0">
      <sharedItems containsSemiMixedTypes="0" containsString="0" containsNumber="1" minValue="2.5882360599999998" maxValue="2.5912836700000001"/>
    </cacheField>
    <cacheField name="Annual Utility Cost" numFmtId="0">
      <sharedItems containsSemiMixedTypes="0" containsString="0" containsNumber="1" minValue="703430.78955711995" maxValue="752212.65976832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wat Jabeen" refreshedDate="46243.998192708335" createdVersion="8" refreshedVersion="8" minRefreshableVersion="3" recordCount="16" xr:uid="{750E5F6B-9556-6440-8856-9957980AE388}">
  <cacheSource type="worksheet">
    <worksheetSource name="Table2"/>
  </cacheSource>
  <cacheFields count="7">
    <cacheField name="Feed Ratio" numFmtId="0">
      <sharedItems containsSemiMixedTypes="0" containsString="0" containsNumber="1" minValue="0.5" maxValue="2" count="16"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Conversion" numFmtId="0">
      <sharedItems containsSemiMixedTypes="0" containsString="0" containsNumber="1" minValue="26.323490700000001" maxValue="36.924030500000001"/>
    </cacheField>
    <cacheField name="Purity" numFmtId="0">
      <sharedItems containsSemiMixedTypes="0" containsString="0" containsNumber="1" minValue="0.52646981500000001" maxValue="0.73848061099999995"/>
    </cacheField>
    <cacheField name="Condenser Duty" numFmtId="0">
      <sharedItems containsSemiMixedTypes="0" containsString="0" containsNumber="1" minValue="-1.2373056499999999" maxValue="-1.1746380599999999"/>
    </cacheField>
    <cacheField name="Reboiler Duty" numFmtId="0">
      <sharedItems containsSemiMixedTypes="0" containsString="0" containsNumber="1" minValue="1.32526469" maxValue="1.38177146"/>
    </cacheField>
    <cacheField name="Total Energy" numFmtId="0">
      <sharedItems containsSemiMixedTypes="0" containsString="0" containsNumber="1" minValue="2.49990275" maxValue="2.61260767"/>
    </cacheField>
    <cacheField name="Annual Utility Cost" numFmtId="0">
      <sharedItems containsSemiMixedTypes="0" containsString="0" containsNumber="1" minValue="685047.63812736003" maxValue="714359.08944736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wat Jabeen" refreshedDate="46243.999293055553" createdVersion="8" refreshedVersion="8" minRefreshableVersion="3" recordCount="11" xr:uid="{95D81B61-5AFA-3349-8F4F-2D00EFDAC3F3}">
  <cacheSource type="worksheet">
    <worksheetSource name="Table3"/>
  </cacheSource>
  <cacheFields count="6">
    <cacheField name="Reflux Ratio" numFmtId="0">
      <sharedItems containsSemiMixedTypes="0" containsString="0" containsNumber="1" minValue="1" maxValue="5" count="9">
        <n v="1"/>
        <n v="1.5"/>
        <n v="2"/>
        <n v="2.5"/>
        <n v="3"/>
        <n v="3.5"/>
        <n v="4"/>
        <n v="4.5"/>
        <n v="5"/>
      </sharedItems>
    </cacheField>
    <cacheField name="Purity" numFmtId="0">
      <sharedItems containsSemiMixedTypes="0" containsString="0" containsNumber="1" minValue="0.60112161399999997" maxValue="0.60660325699999995" count="9">
        <n v="0.60660325699999995"/>
        <n v="0.60415378200000003"/>
        <n v="0.60287156399999997"/>
        <n v="0.602173034"/>
        <n v="0.60176305900000004"/>
        <n v="0.60150464800000003"/>
        <n v="0.601331752"/>
        <n v="0.60121032399999996"/>
        <n v="0.60112161399999997"/>
      </sharedItems>
    </cacheField>
    <cacheField name="Condenser Duty" numFmtId="0">
      <sharedItems containsSemiMixedTypes="0" containsString="0" containsNumber="1" minValue="-2.46048321" maxValue="-0.81992905599999999"/>
    </cacheField>
    <cacheField name="Reboiler Duty" numFmtId="0">
      <sharedItems containsSemiMixedTypes="0" containsString="0" containsNumber="1" minValue="0.94961935799999997" maxValue="2.5904780500000002"/>
    </cacheField>
    <cacheField name="Total Energy" numFmtId="0">
      <sharedItems containsSemiMixedTypes="0" containsString="0" containsNumber="1" minValue="1.769548414" maxValue="5.0509612600000002"/>
    </cacheField>
    <cacheField name="Annual Utility Cost" numFmtId="0">
      <sharedItems containsSemiMixedTypes="0" containsString="0" containsNumber="1" minValue="490507.21994585602" maxValue="1341805.866346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1.2301347199999999"/>
    <n v="1.3600287900000001"/>
    <n v="2.59016351"/>
    <n v="703430.78955711995"/>
  </r>
  <r>
    <x v="1"/>
    <x v="1"/>
    <n v="-1.20813061"/>
    <n v="1.38048182"/>
    <n v="2.58861243"/>
    <n v="713331.58607455995"/>
  </r>
  <r>
    <x v="2"/>
    <x v="2"/>
    <n v="-1.19146693"/>
    <n v="1.39676913"/>
    <n v="2.5882360599999998"/>
    <n v="721230.23533088004"/>
  </r>
  <r>
    <x v="3"/>
    <x v="3"/>
    <n v="-1.1778554400000001"/>
    <n v="1.4105364"/>
    <n v="2.5883918399999999"/>
    <n v="727914.70435583999"/>
  </r>
  <r>
    <x v="4"/>
    <x v="4"/>
    <n v="-1.16623444"/>
    <n v="1.42258043"/>
    <n v="2.5888148700000002"/>
    <n v="733767.28188223997"/>
  </r>
  <r>
    <x v="5"/>
    <x v="5"/>
    <n v="-1.15601888"/>
    <n v="1.4333549699999999"/>
    <n v="2.5893738499999999"/>
    <n v="739005.99531328003"/>
  </r>
  <r>
    <x v="6"/>
    <x v="6"/>
    <n v="-1.1468505099999999"/>
    <n v="1.44314638"/>
    <n v="2.5899968900000001"/>
    <n v="743768.62460575998"/>
  </r>
  <r>
    <x v="7"/>
    <x v="7"/>
    <n v="-1.1384933800000001"/>
    <n v="1.4521485999999999"/>
    <n v="2.59064198"/>
    <n v="748148.59429568006"/>
  </r>
  <r>
    <x v="8"/>
    <x v="8"/>
    <n v="-1.1307836200000001"/>
    <n v="1.46050005"/>
    <n v="2.5912836700000001"/>
    <n v="752212.65976832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32.985286299999999"/>
    <n v="0.65970572500000002"/>
    <n v="-1.2308362100000001"/>
    <n v="1.38177146"/>
    <n v="2.61260767"/>
    <n v="714359.08944736002"/>
  </r>
  <r>
    <x v="1"/>
    <n v="36.924030500000001"/>
    <n v="0.73848061099999995"/>
    <n v="-1.1746380599999999"/>
    <n v="1.32526469"/>
    <n v="2.49990275"/>
    <n v="685047.63812736003"/>
  </r>
  <r>
    <x v="2"/>
    <n v="33.009942299999999"/>
    <n v="0.66019884600000001"/>
    <n v="-1.22677167"/>
    <n v="1.36637349"/>
    <n v="2.5931451600000002"/>
    <n v="706560.05252832"/>
  </r>
  <r>
    <x v="3"/>
    <n v="32.537532499999998"/>
    <n v="0.65075065099999996"/>
    <n v="-1.2273539099999999"/>
    <n v="1.36232088"/>
    <n v="2.5896747900000001"/>
    <n v="704535.06246815994"/>
  </r>
  <r>
    <x v="4"/>
    <n v="31.6696323"/>
    <n v="0.633392646"/>
    <n v="-1.2283472900000001"/>
    <n v="1.35985808"/>
    <n v="2.5882053699999998"/>
    <n v="703315.16505184001"/>
  </r>
  <r>
    <x v="5"/>
    <n v="30.143529900000001"/>
    <n v="0.60287059799999998"/>
    <n v="-1.23013233"/>
    <n v="1.3600275500000001"/>
    <n v="2.5901598799999999"/>
    <n v="703430.12697888003"/>
  </r>
  <r>
    <x v="6"/>
    <n v="28.163187300000001"/>
    <n v="0.56326374599999995"/>
    <n v="-1.23315172"/>
    <n v="1.36313643"/>
    <n v="2.5962881499999999"/>
    <n v="705041.56596031995"/>
  </r>
  <r>
    <x v="7"/>
    <n v="27.271750300000001"/>
    <n v="0.54543500700000003"/>
    <n v="-1.23512076"/>
    <n v="1.3653138300000001"/>
    <n v="2.6004345899999999"/>
    <n v="706167.74880576006"/>
  </r>
  <r>
    <x v="8"/>
    <n v="27.064133300000002"/>
    <n v="0.54128266700000005"/>
    <n v="-1.2358302699999999"/>
    <n v="1.3666782900000001"/>
    <n v="2.60250856"/>
    <n v="706864.69124191999"/>
  </r>
  <r>
    <x v="9"/>
    <n v="26.9307166"/>
    <n v="0.538614331"/>
    <n v="-1.23632594"/>
    <n v="1.3679738299999999"/>
    <n v="2.6042997699999999"/>
    <n v="707523.45149824"/>
  </r>
  <r>
    <x v="10"/>
    <n v="26.836942199999999"/>
    <n v="0.53673884500000002"/>
    <n v="-1.23627167"/>
    <n v="1.36900255"/>
    <n v="2.6052742200000001"/>
    <n v="708039.04297312"/>
  </r>
  <r>
    <x v="11"/>
    <n v="26.7396341"/>
    <n v="0.53479268099999999"/>
    <n v="-1.2366538"/>
    <n v="1.3701829599999999"/>
    <n v="2.6068367600000002"/>
    <n v="708638.09855360002"/>
  </r>
  <r>
    <x v="12"/>
    <n v="26.6098049"/>
    <n v="0.53219609800000001"/>
    <n v="-1.23691343"/>
    <n v="1.37007404"/>
    <n v="2.60698747"/>
    <n v="708587.75716767996"/>
  </r>
  <r>
    <x v="13"/>
    <n v="26.498746100000002"/>
    <n v="0.52997492099999999"/>
    <n v="-1.2370676300000001"/>
    <n v="1.3698827899999999"/>
    <n v="2.60695042"/>
    <n v="708494.31505888002"/>
  </r>
  <r>
    <x v="14"/>
    <n v="26.406585199999999"/>
    <n v="0.52813170399999998"/>
    <n v="-1.2371651800000001"/>
    <n v="1.3696979"/>
    <n v="2.6068630800000001"/>
    <n v="708403.11808448005"/>
  </r>
  <r>
    <x v="15"/>
    <n v="26.323490700000001"/>
    <n v="0.52646981500000001"/>
    <n v="-1.2373056499999999"/>
    <n v="1.3696501599999999"/>
    <n v="2.6069558100000001"/>
    <n v="708381.4996911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-0.81992905599999999"/>
    <n v="0.94961935799999997"/>
    <n v="1.769548414"/>
    <n v="490507.21994585602"/>
  </r>
  <r>
    <x v="1"/>
    <x v="1"/>
    <n v="-1.0250404"/>
    <n v="1.1548647999999999"/>
    <n v="2.1799051999999999"/>
    <n v="596989.59491840005"/>
  </r>
  <r>
    <x v="1"/>
    <x v="1"/>
    <n v="-1.0250404"/>
    <n v="1.1548647999999999"/>
    <n v="2.1799051999999999"/>
    <n v="596989.59491840005"/>
  </r>
  <r>
    <x v="2"/>
    <x v="2"/>
    <n v="-1.2301293099999999"/>
    <n v="1.36002544"/>
    <n v="2.59015475"/>
    <n v="703429.01704735996"/>
  </r>
  <r>
    <x v="2"/>
    <x v="2"/>
    <n v="-1.2301293099999999"/>
    <n v="1.36002544"/>
    <n v="2.59015475"/>
    <n v="703429.01704735996"/>
  </r>
  <r>
    <x v="3"/>
    <x v="3"/>
    <n v="-1.4352029500000001"/>
    <n v="1.5651383299999999"/>
    <n v="3.0003412800000002"/>
    <n v="809844.20929759997"/>
  </r>
  <r>
    <x v="4"/>
    <x v="4"/>
    <n v="-1.6402670699999999"/>
    <n v="1.77022557"/>
    <n v="3.4104926400000002"/>
    <n v="916246.36386912002"/>
  </r>
  <r>
    <x v="5"/>
    <x v="5"/>
    <n v="-1.8453253999999999"/>
    <n v="1.9752985199999999"/>
    <n v="3.8206239200000001"/>
    <n v="1022641.246816"/>
  </r>
  <r>
    <x v="6"/>
    <x v="6"/>
    <n v="-2.0503801099999999"/>
    <n v="2.1803630300000001"/>
    <n v="4.2307431400000004"/>
    <n v="1129031.83162336"/>
  </r>
  <r>
    <x v="7"/>
    <x v="7"/>
    <n v="-2.2554324499999998"/>
    <n v="2.3854222599999999"/>
    <n v="4.6408547100000002"/>
    <n v="1235419.725784"/>
  </r>
  <r>
    <x v="8"/>
    <x v="8"/>
    <n v="-2.46048321"/>
    <n v="2.5904780500000002"/>
    <n v="5.0509612600000002"/>
    <n v="1341805.866346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CB928-0AB9-9046-B911-5E6767499776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35:G45" firstHeaderRow="1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nnual Utility Cost" fld="5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EEB4C-6958-6848-93BF-0B1F965533DC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6:G33" firstHeaderRow="1" firstDataRow="1" firstDataCol="1"/>
  <pivotFields count="7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Annual Utility Cost" fld="6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E7898-EF72-224F-B62C-8C0A0F97DFA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3:G13" firstHeaderRow="1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nnual Utility Cost" fld="5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55AE3-5486-7241-867F-081BB7BB8802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lux Ratio">
  <location ref="A34:D44" firstHeaderRow="0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 Energy (GJ)" fld="4" subtotal="average" baseField="0" baseItem="0"/>
    <dataField name="Average of Annual Utility Cost ($)" fld="5" subtotal="average" baseField="0" baseItem="0"/>
    <dataField name="Average of Purity" fld="1" subtotal="average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DC789-83EB-7E4C-B1FD-185D817B38A6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eed Ratio">
  <location ref="A15:D32" firstHeaderRow="0" firstDataRow="1" firstDataCol="1"/>
  <pivotFields count="7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urity" fld="2" subtotal="average" baseField="0" baseItem="0"/>
    <dataField name="Average of Total Energy (GJ)" fld="5" subtotal="average" baseField="0" baseItem="0"/>
    <dataField name="Average of Annual Utility Cost ($)" fld="6" subtotal="average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BB67D-F630-A541-AD09-137C18EC635D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ssure (bar)">
  <location ref="A3:D13" firstHeaderRow="0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 Energy (GJ)" fld="4" subtotal="average" baseField="0" baseItem="0"/>
    <dataField name="Average of Annual Utility Cost ($)" fld="5" subtotal="average" baseField="0" baseItem="0"/>
    <dataField name="Average of Purity" fld="1" subtotal="average" baseField="0" baseItem="0"/>
  </dataFields>
  <formats count="5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/>
    </format>
    <format dxfId="28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A6B0C-E311-454F-912B-1187170B73B4}" name="Table1" displayName="Table1" ref="A1:F10" totalsRowShown="0" headerRowDxfId="13" dataDxfId="24">
  <autoFilter ref="A1:F10" xr:uid="{CC0A6B0C-E311-454F-912B-1187170B73B4}"/>
  <tableColumns count="6">
    <tableColumn id="1" xr3:uid="{D6EFD046-02BE-B849-B622-484DDA9ACF2B}" name="Pressure (bar)" dataDxfId="19"/>
    <tableColumn id="2" xr3:uid="{739915FE-C85D-C145-B375-1BF5E59E2018}" name="Purity" dataDxfId="18"/>
    <tableColumn id="3" xr3:uid="{0050BC9E-2287-6A4D-88B3-A5588B552F6E}" name="Condenser Duty (Gcal)" dataDxfId="17"/>
    <tableColumn id="4" xr3:uid="{F349AF92-E397-CB46-A8F1-EC7B510201C9}" name="Reboiler Duty (Gcal)" dataDxfId="16"/>
    <tableColumn id="5" xr3:uid="{3B25F6D6-57D2-114E-830C-3413BA001199}" name="Total Energy (GJ)" dataDxfId="15"/>
    <tableColumn id="6" xr3:uid="{EB833F14-BF7F-0148-A1D7-34366DEF496A}" name="Annual Utility Cost ($)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09388B-09AA-2C41-9815-813277719B83}" name="Table2" displayName="Table2" ref="A12:G28" totalsRowShown="0" headerRowDxfId="23" dataDxfId="22">
  <autoFilter ref="A12:G28" xr:uid="{2809388B-09AA-2C41-9815-813277719B83}"/>
  <tableColumns count="7">
    <tableColumn id="1" xr3:uid="{37BDCA7A-FB9C-C84B-BC3B-E8A281770335}" name="Feed Ratio" dataDxfId="12"/>
    <tableColumn id="2" xr3:uid="{2F24C65B-3BCF-6F46-95E2-737622E4F193}" name="Conversion" dataDxfId="11"/>
    <tableColumn id="3" xr3:uid="{E6617CA4-AEBF-D54F-8A54-C4F5E325B5D2}" name="Purity" dataDxfId="10"/>
    <tableColumn id="4" xr3:uid="{E71D17A9-19CC-3748-81B3-3C505A51798C}" name="Condenser Duty (Gcal)" dataDxfId="9"/>
    <tableColumn id="5" xr3:uid="{82152955-94DA-1942-8EF5-8D6ACF9E0010}" name="Reboiler Duty (Gcal)" dataDxfId="8"/>
    <tableColumn id="6" xr3:uid="{9AA11182-70CA-5C4D-BE77-6DB01BA4FA98}" name="Total Energy (GJ)" dataDxfId="7"/>
    <tableColumn id="7" xr3:uid="{8D86901C-2EA1-9E46-8C6F-AA28018A6CCB}" name="Annual Utility Cost ($)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0586E6-3FDB-6442-82D9-E5CAC720610D}" name="Table3" displayName="Table3" ref="A30:F41" totalsRowShown="0" headerRowDxfId="21" dataDxfId="20">
  <autoFilter ref="A30:F41" xr:uid="{250586E6-3FDB-6442-82D9-E5CAC720610D}"/>
  <tableColumns count="6">
    <tableColumn id="1" xr3:uid="{EE145AA5-C04B-0D41-BBB4-1848A0682154}" name="Reflux Ratio" dataDxfId="5"/>
    <tableColumn id="2" xr3:uid="{719D1DF4-B962-9241-897E-078AEF409643}" name="Purity" dataDxfId="4"/>
    <tableColumn id="3" xr3:uid="{B3D174F2-5980-ED49-8A64-D1424600E925}" name="Condenser Duty (Gcal)" dataDxfId="3"/>
    <tableColumn id="4" xr3:uid="{6D15570D-008E-F047-A8D8-8605C260E77C}" name="Reboiler Duty (Gcal)" dataDxfId="2"/>
    <tableColumn id="5" xr3:uid="{53FEB43D-EE99-8D46-AF7B-CB482EF87BF5}" name="Total Energy (GJ)" dataDxfId="1"/>
    <tableColumn id="6" xr3:uid="{4A420768-9DBE-B34E-B796-51A3A33BFD76}" name="Annual Utility Cost ($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6CF9-A0FF-C641-9038-D50F13934425}">
  <dimension ref="A3:G45"/>
  <sheetViews>
    <sheetView workbookViewId="0">
      <selection activeCell="C34" sqref="C34"/>
    </sheetView>
  </sheetViews>
  <sheetFormatPr baseColWidth="10" defaultRowHeight="16" x14ac:dyDescent="0.2"/>
  <cols>
    <col min="1" max="1" width="13.5" bestFit="1" customWidth="1"/>
    <col min="2" max="2" width="24" bestFit="1" customWidth="1"/>
    <col min="3" max="3" width="28.5" bestFit="1" customWidth="1"/>
    <col min="4" max="4" width="43.1640625" customWidth="1"/>
    <col min="6" max="6" width="13" bestFit="1" customWidth="1"/>
    <col min="7" max="7" width="25.6640625" bestFit="1" customWidth="1"/>
  </cols>
  <sheetData>
    <row r="3" spans="1:7" x14ac:dyDescent="0.2">
      <c r="A3" s="4" t="s">
        <v>0</v>
      </c>
      <c r="B3" s="5" t="s">
        <v>21</v>
      </c>
      <c r="C3" s="5" t="s">
        <v>20</v>
      </c>
      <c r="D3" s="5" t="s">
        <v>8</v>
      </c>
      <c r="F3" s="2" t="s">
        <v>5</v>
      </c>
      <c r="G3" t="s">
        <v>7</v>
      </c>
    </row>
    <row r="4" spans="1:7" x14ac:dyDescent="0.2">
      <c r="A4" s="6">
        <v>1</v>
      </c>
      <c r="B4" s="7">
        <v>2.59016351</v>
      </c>
      <c r="C4" s="7">
        <v>703430.78955711995</v>
      </c>
      <c r="D4" s="7">
        <v>0.60287190099999999</v>
      </c>
      <c r="F4" s="3">
        <v>1</v>
      </c>
      <c r="G4" s="1">
        <v>703430.78955711995</v>
      </c>
    </row>
    <row r="5" spans="1:7" x14ac:dyDescent="0.2">
      <c r="A5" s="6">
        <v>1.5</v>
      </c>
      <c r="B5" s="7">
        <v>2.58861243</v>
      </c>
      <c r="C5" s="7">
        <v>713331.58607455995</v>
      </c>
      <c r="D5" s="7">
        <v>0.57590917799999997</v>
      </c>
      <c r="F5" s="3">
        <v>1.5</v>
      </c>
      <c r="G5" s="1">
        <v>713331.58607455995</v>
      </c>
    </row>
    <row r="6" spans="1:7" x14ac:dyDescent="0.2">
      <c r="A6" s="6">
        <v>2</v>
      </c>
      <c r="B6" s="7">
        <v>2.5882360599999998</v>
      </c>
      <c r="C6" s="7">
        <v>721230.23533088004</v>
      </c>
      <c r="D6" s="7">
        <v>0.55548142599999994</v>
      </c>
      <c r="F6" s="3">
        <v>2</v>
      </c>
      <c r="G6" s="1">
        <v>721230.23533088004</v>
      </c>
    </row>
    <row r="7" spans="1:7" x14ac:dyDescent="0.2">
      <c r="A7" s="6">
        <v>2.5</v>
      </c>
      <c r="B7" s="7">
        <v>2.5883918399999999</v>
      </c>
      <c r="C7" s="7">
        <v>727914.70435583999</v>
      </c>
      <c r="D7" s="7">
        <v>0.53888078900000003</v>
      </c>
      <c r="F7" s="3">
        <v>2.5</v>
      </c>
      <c r="G7" s="1">
        <v>727914.70435583999</v>
      </c>
    </row>
    <row r="8" spans="1:7" x14ac:dyDescent="0.2">
      <c r="A8" s="6">
        <v>3</v>
      </c>
      <c r="B8" s="7">
        <v>2.5888148700000002</v>
      </c>
      <c r="C8" s="7">
        <v>733767.28188223997</v>
      </c>
      <c r="D8" s="7">
        <v>0.52482904900000005</v>
      </c>
      <c r="F8" s="3">
        <v>3</v>
      </c>
      <c r="G8" s="1">
        <v>733767.28188223997</v>
      </c>
    </row>
    <row r="9" spans="1:7" x14ac:dyDescent="0.2">
      <c r="A9" s="6">
        <v>3.5</v>
      </c>
      <c r="B9" s="7">
        <v>2.5893738499999999</v>
      </c>
      <c r="C9" s="7">
        <v>739005.99531328003</v>
      </c>
      <c r="D9" s="7">
        <v>0.512612069</v>
      </c>
      <c r="F9" s="3">
        <v>3.5</v>
      </c>
      <c r="G9" s="1">
        <v>739005.99531328003</v>
      </c>
    </row>
    <row r="10" spans="1:7" x14ac:dyDescent="0.2">
      <c r="A10" s="6">
        <v>4</v>
      </c>
      <c r="B10" s="7">
        <v>2.5899968900000001</v>
      </c>
      <c r="C10" s="7">
        <v>743768.62460575998</v>
      </c>
      <c r="D10" s="7">
        <v>0.50178672499999999</v>
      </c>
      <c r="F10" s="3">
        <v>4</v>
      </c>
      <c r="G10" s="1">
        <v>743768.62460575998</v>
      </c>
    </row>
    <row r="11" spans="1:7" x14ac:dyDescent="0.2">
      <c r="A11" s="6">
        <v>4.5</v>
      </c>
      <c r="B11" s="7">
        <v>2.59064198</v>
      </c>
      <c r="C11" s="7">
        <v>748148.59429568006</v>
      </c>
      <c r="D11" s="7">
        <v>0.49205747399999999</v>
      </c>
      <c r="F11" s="3">
        <v>4.5</v>
      </c>
      <c r="G11" s="1">
        <v>748148.59429568006</v>
      </c>
    </row>
    <row r="12" spans="1:7" x14ac:dyDescent="0.2">
      <c r="A12" s="6">
        <v>5</v>
      </c>
      <c r="B12" s="7">
        <v>2.5912836700000001</v>
      </c>
      <c r="C12" s="7">
        <v>752212.65976832004</v>
      </c>
      <c r="D12" s="7">
        <v>0.48321649900000002</v>
      </c>
      <c r="F12" s="3">
        <v>5</v>
      </c>
      <c r="G12" s="1">
        <v>752212.65976832004</v>
      </c>
    </row>
    <row r="13" spans="1:7" x14ac:dyDescent="0.2">
      <c r="A13" s="6" t="s">
        <v>6</v>
      </c>
      <c r="B13" s="7">
        <v>2.5895016777777773</v>
      </c>
      <c r="C13" s="7">
        <v>731423.38568707544</v>
      </c>
      <c r="D13" s="7">
        <v>0.53196056777777778</v>
      </c>
      <c r="F13" s="3" t="s">
        <v>6</v>
      </c>
      <c r="G13" s="1">
        <v>731423.38568707544</v>
      </c>
    </row>
    <row r="15" spans="1:7" x14ac:dyDescent="0.2">
      <c r="A15" s="4" t="s">
        <v>2</v>
      </c>
      <c r="B15" s="5" t="s">
        <v>8</v>
      </c>
      <c r="C15" s="5" t="s">
        <v>21</v>
      </c>
      <c r="D15" s="5" t="s">
        <v>20</v>
      </c>
    </row>
    <row r="16" spans="1:7" x14ac:dyDescent="0.2">
      <c r="A16" s="6">
        <v>0.5</v>
      </c>
      <c r="B16" s="7">
        <v>0.65970572500000002</v>
      </c>
      <c r="C16" s="7">
        <v>2.61260767</v>
      </c>
      <c r="D16" s="7">
        <v>714359.08944736002</v>
      </c>
      <c r="F16" s="2" t="s">
        <v>5</v>
      </c>
      <c r="G16" t="s">
        <v>7</v>
      </c>
    </row>
    <row r="17" spans="1:7" x14ac:dyDescent="0.2">
      <c r="A17" s="6">
        <v>0.6</v>
      </c>
      <c r="B17" s="7">
        <v>0.73848061099999995</v>
      </c>
      <c r="C17" s="7">
        <v>2.49990275</v>
      </c>
      <c r="D17" s="7">
        <v>685047.63812736003</v>
      </c>
      <c r="F17" s="3">
        <v>0.5</v>
      </c>
      <c r="G17" s="1">
        <v>714359.08944736002</v>
      </c>
    </row>
    <row r="18" spans="1:7" x14ac:dyDescent="0.2">
      <c r="A18" s="6">
        <v>0.7</v>
      </c>
      <c r="B18" s="7">
        <v>0.66019884600000001</v>
      </c>
      <c r="C18" s="7">
        <v>2.5931451600000002</v>
      </c>
      <c r="D18" s="7">
        <v>706560.05252832</v>
      </c>
      <c r="F18" s="3">
        <v>0.6</v>
      </c>
      <c r="G18" s="1">
        <v>685047.63812736003</v>
      </c>
    </row>
    <row r="19" spans="1:7" x14ac:dyDescent="0.2">
      <c r="A19" s="6">
        <v>0.8</v>
      </c>
      <c r="B19" s="7">
        <v>0.65075065099999996</v>
      </c>
      <c r="C19" s="7">
        <v>2.5896747900000001</v>
      </c>
      <c r="D19" s="7">
        <v>704535.06246815994</v>
      </c>
      <c r="F19" s="3">
        <v>0.7</v>
      </c>
      <c r="G19" s="1">
        <v>706560.05252832</v>
      </c>
    </row>
    <row r="20" spans="1:7" x14ac:dyDescent="0.2">
      <c r="A20" s="6">
        <v>0.9</v>
      </c>
      <c r="B20" s="7">
        <v>0.633392646</v>
      </c>
      <c r="C20" s="7">
        <v>2.5882053699999998</v>
      </c>
      <c r="D20" s="7">
        <v>703315.16505184001</v>
      </c>
      <c r="F20" s="3">
        <v>0.8</v>
      </c>
      <c r="G20" s="1">
        <v>704535.06246815994</v>
      </c>
    </row>
    <row r="21" spans="1:7" x14ac:dyDescent="0.2">
      <c r="A21" s="6">
        <v>1</v>
      </c>
      <c r="B21" s="7">
        <v>0.60287059799999998</v>
      </c>
      <c r="C21" s="7">
        <v>2.5901598799999999</v>
      </c>
      <c r="D21" s="7">
        <v>703430.12697888003</v>
      </c>
      <c r="F21" s="3">
        <v>0.9</v>
      </c>
      <c r="G21" s="1">
        <v>703315.16505184001</v>
      </c>
    </row>
    <row r="22" spans="1:7" x14ac:dyDescent="0.2">
      <c r="A22" s="6">
        <v>1.1000000000000001</v>
      </c>
      <c r="B22" s="7">
        <v>0.56326374599999995</v>
      </c>
      <c r="C22" s="7">
        <v>2.5962881499999999</v>
      </c>
      <c r="D22" s="7">
        <v>705041.56596031995</v>
      </c>
      <c r="F22" s="3">
        <v>1</v>
      </c>
      <c r="G22" s="1">
        <v>703430.12697888003</v>
      </c>
    </row>
    <row r="23" spans="1:7" x14ac:dyDescent="0.2">
      <c r="A23" s="6">
        <v>1.2</v>
      </c>
      <c r="B23" s="7">
        <v>0.54543500700000003</v>
      </c>
      <c r="C23" s="7">
        <v>2.6004345899999999</v>
      </c>
      <c r="D23" s="7">
        <v>706167.74880576006</v>
      </c>
      <c r="F23" s="3">
        <v>1.1000000000000001</v>
      </c>
      <c r="G23" s="1">
        <v>705041.56596031995</v>
      </c>
    </row>
    <row r="24" spans="1:7" x14ac:dyDescent="0.2">
      <c r="A24" s="6">
        <v>1.3</v>
      </c>
      <c r="B24" s="7">
        <v>0.54128266700000005</v>
      </c>
      <c r="C24" s="7">
        <v>2.60250856</v>
      </c>
      <c r="D24" s="7">
        <v>706864.69124191999</v>
      </c>
      <c r="F24" s="3">
        <v>1.2</v>
      </c>
      <c r="G24" s="1">
        <v>706167.74880576006</v>
      </c>
    </row>
    <row r="25" spans="1:7" x14ac:dyDescent="0.2">
      <c r="A25" s="6">
        <v>1.4</v>
      </c>
      <c r="B25" s="7">
        <v>0.538614331</v>
      </c>
      <c r="C25" s="7">
        <v>2.6042997699999999</v>
      </c>
      <c r="D25" s="7">
        <v>707523.45149824</v>
      </c>
      <c r="F25" s="3">
        <v>1.3</v>
      </c>
      <c r="G25" s="1">
        <v>706864.69124191999</v>
      </c>
    </row>
    <row r="26" spans="1:7" x14ac:dyDescent="0.2">
      <c r="A26" s="6">
        <v>1.5</v>
      </c>
      <c r="B26" s="7">
        <v>0.53673884500000002</v>
      </c>
      <c r="C26" s="7">
        <v>2.6052742200000001</v>
      </c>
      <c r="D26" s="7">
        <v>708039.04297312</v>
      </c>
      <c r="F26" s="3">
        <v>1.4</v>
      </c>
      <c r="G26" s="1">
        <v>707523.45149824</v>
      </c>
    </row>
    <row r="27" spans="1:7" x14ac:dyDescent="0.2">
      <c r="A27" s="6">
        <v>1.6</v>
      </c>
      <c r="B27" s="7">
        <v>0.53479268099999999</v>
      </c>
      <c r="C27" s="7">
        <v>2.6068367600000002</v>
      </c>
      <c r="D27" s="7">
        <v>708638.09855360002</v>
      </c>
      <c r="F27" s="3">
        <v>1.5</v>
      </c>
      <c r="G27" s="1">
        <v>708039.04297312</v>
      </c>
    </row>
    <row r="28" spans="1:7" x14ac:dyDescent="0.2">
      <c r="A28" s="6">
        <v>1.7</v>
      </c>
      <c r="B28" s="7">
        <v>0.53219609800000001</v>
      </c>
      <c r="C28" s="7">
        <v>2.60698747</v>
      </c>
      <c r="D28" s="7">
        <v>708587.75716767996</v>
      </c>
      <c r="F28" s="3">
        <v>1.6</v>
      </c>
      <c r="G28" s="1">
        <v>708638.09855360002</v>
      </c>
    </row>
    <row r="29" spans="1:7" x14ac:dyDescent="0.2">
      <c r="A29" s="6">
        <v>1.8</v>
      </c>
      <c r="B29" s="7">
        <v>0.52997492099999999</v>
      </c>
      <c r="C29" s="7">
        <v>2.60695042</v>
      </c>
      <c r="D29" s="7">
        <v>708494.31505888002</v>
      </c>
      <c r="F29" s="3">
        <v>1.7</v>
      </c>
      <c r="G29" s="1">
        <v>708587.75716767996</v>
      </c>
    </row>
    <row r="30" spans="1:7" x14ac:dyDescent="0.2">
      <c r="A30" s="6">
        <v>1.9</v>
      </c>
      <c r="B30" s="7">
        <v>0.52813170399999998</v>
      </c>
      <c r="C30" s="7">
        <v>2.6068630800000001</v>
      </c>
      <c r="D30" s="7">
        <v>708403.11808448005</v>
      </c>
      <c r="F30" s="3">
        <v>1.8</v>
      </c>
      <c r="G30" s="1">
        <v>708494.31505888002</v>
      </c>
    </row>
    <row r="31" spans="1:7" x14ac:dyDescent="0.2">
      <c r="A31" s="6">
        <v>2</v>
      </c>
      <c r="B31" s="7">
        <v>0.52646981500000001</v>
      </c>
      <c r="C31" s="7">
        <v>2.6069558100000001</v>
      </c>
      <c r="D31" s="7">
        <v>708381.49969119998</v>
      </c>
      <c r="F31" s="3">
        <v>1.9</v>
      </c>
      <c r="G31" s="1">
        <v>708403.11808448005</v>
      </c>
    </row>
    <row r="32" spans="1:7" x14ac:dyDescent="0.2">
      <c r="A32" s="6" t="s">
        <v>6</v>
      </c>
      <c r="B32" s="7">
        <v>0.58264368075000006</v>
      </c>
      <c r="C32" s="7">
        <v>2.5948184031250001</v>
      </c>
      <c r="D32" s="7">
        <v>705836.77647731989</v>
      </c>
      <c r="F32" s="3">
        <v>2</v>
      </c>
      <c r="G32" s="1">
        <v>708381.49969119998</v>
      </c>
    </row>
    <row r="33" spans="1:7" x14ac:dyDescent="0.2">
      <c r="F33" s="3" t="s">
        <v>6</v>
      </c>
      <c r="G33" s="1">
        <v>705836.77647731989</v>
      </c>
    </row>
    <row r="34" spans="1:7" x14ac:dyDescent="0.2">
      <c r="A34" s="4" t="s">
        <v>4</v>
      </c>
      <c r="B34" s="5" t="s">
        <v>21</v>
      </c>
      <c r="C34" s="5" t="s">
        <v>20</v>
      </c>
      <c r="D34" s="5" t="s">
        <v>8</v>
      </c>
    </row>
    <row r="35" spans="1:7" x14ac:dyDescent="0.2">
      <c r="A35" s="6">
        <v>1</v>
      </c>
      <c r="B35" s="7">
        <v>1.769548414</v>
      </c>
      <c r="C35" s="7">
        <v>490507.21994585602</v>
      </c>
      <c r="D35" s="7">
        <v>0.60660325699999995</v>
      </c>
      <c r="F35" s="2" t="s">
        <v>5</v>
      </c>
      <c r="G35" t="s">
        <v>7</v>
      </c>
    </row>
    <row r="36" spans="1:7" x14ac:dyDescent="0.2">
      <c r="A36" s="6">
        <v>1.5</v>
      </c>
      <c r="B36" s="7">
        <v>2.1799051999999999</v>
      </c>
      <c r="C36" s="7">
        <v>596989.59491840005</v>
      </c>
      <c r="D36" s="7">
        <v>0.60415378200000003</v>
      </c>
      <c r="F36" s="3">
        <v>1</v>
      </c>
      <c r="G36" s="1">
        <v>490507.21994585602</v>
      </c>
    </row>
    <row r="37" spans="1:7" x14ac:dyDescent="0.2">
      <c r="A37" s="6">
        <v>2</v>
      </c>
      <c r="B37" s="7">
        <v>2.59015475</v>
      </c>
      <c r="C37" s="7">
        <v>703429.01704735996</v>
      </c>
      <c r="D37" s="7">
        <v>0.60287156399999997</v>
      </c>
      <c r="F37" s="3">
        <v>1.5</v>
      </c>
      <c r="G37" s="1">
        <v>596989.59491840005</v>
      </c>
    </row>
    <row r="38" spans="1:7" x14ac:dyDescent="0.2">
      <c r="A38" s="6">
        <v>2.5</v>
      </c>
      <c r="B38" s="7">
        <v>3.0003412800000002</v>
      </c>
      <c r="C38" s="7">
        <v>809844.20929759997</v>
      </c>
      <c r="D38" s="7">
        <v>0.602173034</v>
      </c>
      <c r="F38" s="3">
        <v>2</v>
      </c>
      <c r="G38" s="1">
        <v>703429.01704735996</v>
      </c>
    </row>
    <row r="39" spans="1:7" x14ac:dyDescent="0.2">
      <c r="A39" s="6">
        <v>3</v>
      </c>
      <c r="B39" s="7">
        <v>3.4104926400000002</v>
      </c>
      <c r="C39" s="7">
        <v>916246.36386912002</v>
      </c>
      <c r="D39" s="7">
        <v>0.60176305900000004</v>
      </c>
      <c r="F39" s="3">
        <v>2.5</v>
      </c>
      <c r="G39" s="1">
        <v>809844.20929759997</v>
      </c>
    </row>
    <row r="40" spans="1:7" x14ac:dyDescent="0.2">
      <c r="A40" s="6">
        <v>3.5</v>
      </c>
      <c r="B40" s="7">
        <v>3.8206239200000001</v>
      </c>
      <c r="C40" s="7">
        <v>1022641.246816</v>
      </c>
      <c r="D40" s="7">
        <v>0.60150464800000003</v>
      </c>
      <c r="F40" s="3">
        <v>3</v>
      </c>
      <c r="G40" s="1">
        <v>916246.36386912002</v>
      </c>
    </row>
    <row r="41" spans="1:7" x14ac:dyDescent="0.2">
      <c r="A41" s="6">
        <v>4</v>
      </c>
      <c r="B41" s="7">
        <v>4.2307431400000004</v>
      </c>
      <c r="C41" s="7">
        <v>1129031.83162336</v>
      </c>
      <c r="D41" s="7">
        <v>0.601331752</v>
      </c>
      <c r="F41" s="3">
        <v>3.5</v>
      </c>
      <c r="G41" s="1">
        <v>1022641.246816</v>
      </c>
    </row>
    <row r="42" spans="1:7" x14ac:dyDescent="0.2">
      <c r="A42" s="6">
        <v>4.5</v>
      </c>
      <c r="B42" s="7">
        <v>4.6408547100000002</v>
      </c>
      <c r="C42" s="7">
        <v>1235419.725784</v>
      </c>
      <c r="D42" s="7">
        <v>0.60121032399999996</v>
      </c>
      <c r="F42" s="3">
        <v>4</v>
      </c>
      <c r="G42" s="1">
        <v>1129031.83162336</v>
      </c>
    </row>
    <row r="43" spans="1:7" x14ac:dyDescent="0.2">
      <c r="A43" s="6">
        <v>5</v>
      </c>
      <c r="B43" s="7">
        <v>5.0509612600000002</v>
      </c>
      <c r="C43" s="7">
        <v>1341805.86634656</v>
      </c>
      <c r="D43" s="7">
        <v>0.60112161399999997</v>
      </c>
      <c r="F43" s="3">
        <v>4.5</v>
      </c>
      <c r="G43" s="1">
        <v>1235419.725784</v>
      </c>
    </row>
    <row r="44" spans="1:7" x14ac:dyDescent="0.2">
      <c r="A44" s="6" t="s">
        <v>6</v>
      </c>
      <c r="B44" s="7">
        <v>3.2239713876363636</v>
      </c>
      <c r="C44" s="7">
        <v>867848.51705581963</v>
      </c>
      <c r="D44" s="7">
        <v>0.6027053072727272</v>
      </c>
      <c r="F44" s="3">
        <v>5</v>
      </c>
      <c r="G44" s="1">
        <v>1341805.86634656</v>
      </c>
    </row>
    <row r="45" spans="1:7" x14ac:dyDescent="0.2">
      <c r="F45" s="3" t="s">
        <v>6</v>
      </c>
      <c r="G45" s="1">
        <v>867848.51705581963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C221-F476-0745-B9FC-90831DAAEBFF}">
  <dimension ref="A1:B24"/>
  <sheetViews>
    <sheetView tabSelected="1" workbookViewId="0">
      <selection activeCell="B4" sqref="B4"/>
    </sheetView>
  </sheetViews>
  <sheetFormatPr baseColWidth="10" defaultRowHeight="16" x14ac:dyDescent="0.2"/>
  <cols>
    <col min="1" max="1" width="56" customWidth="1"/>
    <col min="2" max="2" width="16.5" customWidth="1"/>
  </cols>
  <sheetData>
    <row r="1" spans="1:2" ht="34" x14ac:dyDescent="0.4">
      <c r="A1" s="8" t="s">
        <v>12</v>
      </c>
    </row>
    <row r="3" spans="1:2" x14ac:dyDescent="0.2">
      <c r="A3" s="10" t="s">
        <v>9</v>
      </c>
      <c r="B3" s="10" t="s">
        <v>10</v>
      </c>
    </row>
    <row r="4" spans="1:2" x14ac:dyDescent="0.2">
      <c r="A4" s="5" t="s">
        <v>0</v>
      </c>
      <c r="B4" s="5">
        <v>1.5</v>
      </c>
    </row>
    <row r="5" spans="1:2" x14ac:dyDescent="0.2">
      <c r="A5" s="5" t="s">
        <v>2</v>
      </c>
      <c r="B5" s="5">
        <v>0.7</v>
      </c>
    </row>
    <row r="6" spans="1:2" x14ac:dyDescent="0.2">
      <c r="A6" s="5" t="s">
        <v>4</v>
      </c>
      <c r="B6" s="5">
        <v>1</v>
      </c>
    </row>
    <row r="7" spans="1:2" x14ac:dyDescent="0.2">
      <c r="A7" s="9"/>
      <c r="B7" s="9"/>
    </row>
    <row r="8" spans="1:2" ht="22" x14ac:dyDescent="0.3">
      <c r="A8" s="11" t="s">
        <v>13</v>
      </c>
      <c r="B8" s="9"/>
    </row>
    <row r="9" spans="1:2" x14ac:dyDescent="0.2">
      <c r="A9" s="10" t="s">
        <v>11</v>
      </c>
      <c r="B9" s="10" t="s">
        <v>10</v>
      </c>
    </row>
    <row r="10" spans="1:2" x14ac:dyDescent="0.2">
      <c r="A10" s="5" t="s">
        <v>1</v>
      </c>
      <c r="B10" s="5">
        <f>_xlfn.XLOOKUP(B4,[1]RawData!$A$2:$A$10,[1]RawData!$B$2:$B$10)</f>
        <v>0.57590917799999997</v>
      </c>
    </row>
    <row r="11" spans="1:2" x14ac:dyDescent="0.2">
      <c r="A11" s="5" t="s">
        <v>17</v>
      </c>
      <c r="B11" s="5">
        <f>_xlfn.XLOOKUP(B4,[1]RawData!$A$2:$A$10,[1]RawData!$E$2:$E$10)</f>
        <v>2.58861243</v>
      </c>
    </row>
    <row r="12" spans="1:2" x14ac:dyDescent="0.2">
      <c r="A12" s="5" t="s">
        <v>16</v>
      </c>
      <c r="B12" s="5">
        <f>_xlfn.XLOOKUP(B4,[1]RawData!$A$2:$A$10,[1]RawData!$F$2:$F$10)</f>
        <v>713331.58607455995</v>
      </c>
    </row>
    <row r="14" spans="1:2" ht="22" x14ac:dyDescent="0.3">
      <c r="A14" s="12" t="s">
        <v>14</v>
      </c>
    </row>
    <row r="15" spans="1:2" x14ac:dyDescent="0.2">
      <c r="A15" s="10" t="s">
        <v>11</v>
      </c>
      <c r="B15" s="10" t="s">
        <v>10</v>
      </c>
    </row>
    <row r="16" spans="1:2" x14ac:dyDescent="0.2">
      <c r="A16" s="5" t="s">
        <v>1</v>
      </c>
      <c r="B16" s="5">
        <f>_xlfn.XLOOKUP(B5,[1]RawData!$A$13:$A$28,[1]RawData!$C$13:$C$28)</f>
        <v>0.66019884600000001</v>
      </c>
    </row>
    <row r="17" spans="1:2" x14ac:dyDescent="0.2">
      <c r="A17" s="5" t="s">
        <v>17</v>
      </c>
      <c r="B17" s="5">
        <f>_xlfn.XLOOKUP(B5,[1]RawData!$A$13:$A$28,[1]RawData!$F$13:$F$28)</f>
        <v>2.5931451600000002</v>
      </c>
    </row>
    <row r="18" spans="1:2" x14ac:dyDescent="0.2">
      <c r="A18" s="5" t="s">
        <v>16</v>
      </c>
      <c r="B18" s="5">
        <f>_xlfn.XLOOKUP(B5,[1]RawData!$A$13:$A$28,[1]RawData!$G$13:$G$28)</f>
        <v>706560.05252832</v>
      </c>
    </row>
    <row r="20" spans="1:2" ht="22" x14ac:dyDescent="0.3">
      <c r="A20" s="12" t="s">
        <v>22</v>
      </c>
    </row>
    <row r="21" spans="1:2" x14ac:dyDescent="0.2">
      <c r="A21" s="10" t="s">
        <v>11</v>
      </c>
      <c r="B21" s="10" t="s">
        <v>10</v>
      </c>
    </row>
    <row r="22" spans="1:2" x14ac:dyDescent="0.2">
      <c r="A22" s="5" t="s">
        <v>1</v>
      </c>
      <c r="B22" s="5" cm="1">
        <f t="array" ref="B22">_xlfn.XLOOKUP(B6,[1]RawData!$A$31:$A$39,[1]RawData!$B31:$B$39)</f>
        <v>0.60660325699999995</v>
      </c>
    </row>
    <row r="23" spans="1:2" x14ac:dyDescent="0.2">
      <c r="A23" s="5" t="s">
        <v>17</v>
      </c>
      <c r="B23" s="5">
        <f>_xlfn.XLOOKUP(B6,[1]RawData!$A$31:$A$39,[1]RawData!$E$31:$E$39)</f>
        <v>1.769548414</v>
      </c>
    </row>
    <row r="24" spans="1:2" x14ac:dyDescent="0.2">
      <c r="A24" s="5" t="s">
        <v>16</v>
      </c>
      <c r="B24" s="5">
        <f>_xlfn.XLOOKUP(B6,[1]RawData!$A$31:$A$39,[1]RawData!$F$31:$F$39)</f>
        <v>490507.21994585602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C8430F-15B4-604E-A2CD-8315D93475B5}">
          <x14:formula1>
            <xm:f>RawData!$A$2:$A$10</xm:f>
          </x14:formula1>
          <xm:sqref>B4</xm:sqref>
        </x14:dataValidation>
        <x14:dataValidation type="list" allowBlank="1" showInputMessage="1" showErrorMessage="1" xr:uid="{337EAEB4-2B40-9B47-8E5D-8DAC09A93114}">
          <x14:formula1>
            <xm:f>RawData!$A$13:$A$28</xm:f>
          </x14:formula1>
          <xm:sqref>B5</xm:sqref>
        </x14:dataValidation>
        <x14:dataValidation type="list" allowBlank="1" showInputMessage="1" showErrorMessage="1" xr:uid="{B28F1032-1E60-6C44-812D-6F71E5AF3DDF}">
          <x14:formula1>
            <xm:f>RawData!$A$31:$A$39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D90D-6E26-AD46-B53E-A71761E6FC2A}">
  <dimension ref="A1:G41"/>
  <sheetViews>
    <sheetView zoomScale="75" workbookViewId="0">
      <selection activeCell="C30" sqref="C30"/>
    </sheetView>
  </sheetViews>
  <sheetFormatPr baseColWidth="10" defaultRowHeight="16" x14ac:dyDescent="0.2"/>
  <cols>
    <col min="1" max="1" width="15.33203125" customWidth="1"/>
    <col min="2" max="2" width="13.33203125" customWidth="1"/>
    <col min="3" max="3" width="22.33203125" customWidth="1"/>
    <col min="4" max="4" width="30.83203125" customWidth="1"/>
    <col min="5" max="5" width="25.1640625" customWidth="1"/>
    <col min="6" max="6" width="20.83203125" customWidth="1"/>
    <col min="7" max="7" width="19.33203125" customWidth="1"/>
  </cols>
  <sheetData>
    <row r="1" spans="1:7" x14ac:dyDescent="0.2">
      <c r="A1" s="13" t="s">
        <v>0</v>
      </c>
      <c r="B1" s="13" t="s">
        <v>1</v>
      </c>
      <c r="C1" s="13" t="s">
        <v>19</v>
      </c>
      <c r="D1" s="13" t="s">
        <v>18</v>
      </c>
      <c r="E1" s="13" t="s">
        <v>17</v>
      </c>
      <c r="F1" s="16" t="s">
        <v>15</v>
      </c>
      <c r="G1" s="14"/>
    </row>
    <row r="2" spans="1:7" x14ac:dyDescent="0.2">
      <c r="A2" s="13">
        <v>1</v>
      </c>
      <c r="B2" s="15">
        <v>0.60287190099999999</v>
      </c>
      <c r="C2" s="15">
        <v>-1.2301347199999999</v>
      </c>
      <c r="D2" s="15">
        <v>1.3600287900000001</v>
      </c>
      <c r="E2" s="15">
        <v>2.59016351</v>
      </c>
      <c r="F2" s="17">
        <v>703430.78955711995</v>
      </c>
      <c r="G2" s="14"/>
    </row>
    <row r="3" spans="1:7" x14ac:dyDescent="0.2">
      <c r="A3" s="13">
        <v>1.5</v>
      </c>
      <c r="B3" s="15">
        <v>0.57590917799999997</v>
      </c>
      <c r="C3" s="15">
        <v>-1.20813061</v>
      </c>
      <c r="D3" s="15">
        <v>1.38048182</v>
      </c>
      <c r="E3" s="15">
        <v>2.58861243</v>
      </c>
      <c r="F3" s="17">
        <v>713331.58607455995</v>
      </c>
      <c r="G3" s="14"/>
    </row>
    <row r="4" spans="1:7" x14ac:dyDescent="0.2">
      <c r="A4" s="13">
        <v>2</v>
      </c>
      <c r="B4" s="15">
        <v>0.55548142599999994</v>
      </c>
      <c r="C4" s="15">
        <v>-1.19146693</v>
      </c>
      <c r="D4" s="15">
        <v>1.39676913</v>
      </c>
      <c r="E4" s="15">
        <v>2.5882360599999998</v>
      </c>
      <c r="F4" s="17">
        <v>721230.23533088004</v>
      </c>
      <c r="G4" s="14"/>
    </row>
    <row r="5" spans="1:7" x14ac:dyDescent="0.2">
      <c r="A5" s="13">
        <v>2.5</v>
      </c>
      <c r="B5" s="15">
        <v>0.53888078900000003</v>
      </c>
      <c r="C5" s="15">
        <v>-1.1778554400000001</v>
      </c>
      <c r="D5" s="15">
        <v>1.4105364</v>
      </c>
      <c r="E5" s="15">
        <v>2.5883918399999999</v>
      </c>
      <c r="F5" s="17">
        <v>727914.70435583999</v>
      </c>
      <c r="G5" s="14"/>
    </row>
    <row r="6" spans="1:7" x14ac:dyDescent="0.2">
      <c r="A6" s="13">
        <v>3</v>
      </c>
      <c r="B6" s="15">
        <v>0.52482904900000005</v>
      </c>
      <c r="C6" s="15">
        <v>-1.16623444</v>
      </c>
      <c r="D6" s="15">
        <v>1.42258043</v>
      </c>
      <c r="E6" s="15">
        <v>2.5888148700000002</v>
      </c>
      <c r="F6" s="17">
        <v>733767.28188223997</v>
      </c>
      <c r="G6" s="14"/>
    </row>
    <row r="7" spans="1:7" x14ac:dyDescent="0.2">
      <c r="A7" s="13">
        <v>3.5</v>
      </c>
      <c r="B7" s="15">
        <v>0.512612069</v>
      </c>
      <c r="C7" s="15">
        <v>-1.15601888</v>
      </c>
      <c r="D7" s="15">
        <v>1.4333549699999999</v>
      </c>
      <c r="E7" s="15">
        <v>2.5893738499999999</v>
      </c>
      <c r="F7" s="17">
        <v>739005.99531328003</v>
      </c>
      <c r="G7" s="14"/>
    </row>
    <row r="8" spans="1:7" x14ac:dyDescent="0.2">
      <c r="A8" s="13">
        <v>4</v>
      </c>
      <c r="B8" s="15">
        <v>0.50178672499999999</v>
      </c>
      <c r="C8" s="15">
        <v>-1.1468505099999999</v>
      </c>
      <c r="D8" s="15">
        <v>1.44314638</v>
      </c>
      <c r="E8" s="15">
        <v>2.5899968900000001</v>
      </c>
      <c r="F8" s="17">
        <v>743768.62460575998</v>
      </c>
      <c r="G8" s="14"/>
    </row>
    <row r="9" spans="1:7" x14ac:dyDescent="0.2">
      <c r="A9" s="13">
        <v>4.5</v>
      </c>
      <c r="B9" s="15">
        <v>0.49205747399999999</v>
      </c>
      <c r="C9" s="15">
        <v>-1.1384933800000001</v>
      </c>
      <c r="D9" s="15">
        <v>1.4521485999999999</v>
      </c>
      <c r="E9" s="15">
        <v>2.59064198</v>
      </c>
      <c r="F9" s="17">
        <v>748148.59429568006</v>
      </c>
      <c r="G9" s="14"/>
    </row>
    <row r="10" spans="1:7" x14ac:dyDescent="0.2">
      <c r="A10" s="13">
        <v>5</v>
      </c>
      <c r="B10" s="15">
        <v>0.48321649900000002</v>
      </c>
      <c r="C10" s="15">
        <v>-1.1307836200000001</v>
      </c>
      <c r="D10" s="15">
        <v>1.46050005</v>
      </c>
      <c r="E10" s="15">
        <v>2.5912836700000001</v>
      </c>
      <c r="F10" s="17">
        <v>752212.65976832004</v>
      </c>
      <c r="G10" s="14"/>
    </row>
    <row r="11" spans="1:7" x14ac:dyDescent="0.2">
      <c r="A11" s="14"/>
      <c r="B11" s="14"/>
      <c r="C11" s="14"/>
      <c r="D11" s="14"/>
      <c r="E11" s="14"/>
      <c r="F11" s="18"/>
      <c r="G11" s="14"/>
    </row>
    <row r="12" spans="1:7" x14ac:dyDescent="0.2">
      <c r="A12" s="13" t="s">
        <v>2</v>
      </c>
      <c r="B12" s="13" t="s">
        <v>3</v>
      </c>
      <c r="C12" s="13" t="s">
        <v>1</v>
      </c>
      <c r="D12" s="13" t="s">
        <v>19</v>
      </c>
      <c r="E12" s="13" t="s">
        <v>18</v>
      </c>
      <c r="F12" s="13" t="s">
        <v>17</v>
      </c>
      <c r="G12" s="19" t="s">
        <v>15</v>
      </c>
    </row>
    <row r="13" spans="1:7" x14ac:dyDescent="0.2">
      <c r="A13" s="13">
        <v>0.5</v>
      </c>
      <c r="B13" s="15">
        <v>32.985286299999999</v>
      </c>
      <c r="C13" s="15">
        <v>0.65970572500000002</v>
      </c>
      <c r="D13" s="15">
        <v>-1.2308362100000001</v>
      </c>
      <c r="E13" s="15">
        <v>1.38177146</v>
      </c>
      <c r="F13" s="15">
        <v>2.61260767</v>
      </c>
      <c r="G13" s="15">
        <v>714359.08944736002</v>
      </c>
    </row>
    <row r="14" spans="1:7" x14ac:dyDescent="0.2">
      <c r="A14" s="13">
        <v>0.6</v>
      </c>
      <c r="B14" s="15">
        <v>36.924030500000001</v>
      </c>
      <c r="C14" s="15">
        <v>0.73848061099999995</v>
      </c>
      <c r="D14" s="15">
        <v>-1.1746380599999999</v>
      </c>
      <c r="E14" s="15">
        <v>1.32526469</v>
      </c>
      <c r="F14" s="15">
        <v>2.49990275</v>
      </c>
      <c r="G14" s="15">
        <v>685047.63812736003</v>
      </c>
    </row>
    <row r="15" spans="1:7" x14ac:dyDescent="0.2">
      <c r="A15" s="13">
        <v>0.7</v>
      </c>
      <c r="B15" s="15">
        <v>33.009942299999999</v>
      </c>
      <c r="C15" s="15">
        <v>0.66019884600000001</v>
      </c>
      <c r="D15" s="15">
        <v>-1.22677167</v>
      </c>
      <c r="E15" s="15">
        <v>1.36637349</v>
      </c>
      <c r="F15" s="15">
        <v>2.5931451600000002</v>
      </c>
      <c r="G15" s="15">
        <v>706560.05252832</v>
      </c>
    </row>
    <row r="16" spans="1:7" x14ac:dyDescent="0.2">
      <c r="A16" s="13">
        <v>0.8</v>
      </c>
      <c r="B16" s="15">
        <v>32.537532499999998</v>
      </c>
      <c r="C16" s="15">
        <v>0.65075065099999996</v>
      </c>
      <c r="D16" s="15">
        <v>-1.2273539099999999</v>
      </c>
      <c r="E16" s="15">
        <v>1.36232088</v>
      </c>
      <c r="F16" s="15">
        <v>2.5896747900000001</v>
      </c>
      <c r="G16" s="15">
        <v>704535.06246815994</v>
      </c>
    </row>
    <row r="17" spans="1:7" x14ac:dyDescent="0.2">
      <c r="A17" s="13">
        <v>0.9</v>
      </c>
      <c r="B17" s="15">
        <v>31.6696323</v>
      </c>
      <c r="C17" s="15">
        <v>0.633392646</v>
      </c>
      <c r="D17" s="15">
        <v>-1.2283472900000001</v>
      </c>
      <c r="E17" s="15">
        <v>1.35985808</v>
      </c>
      <c r="F17" s="15">
        <v>2.5882053699999998</v>
      </c>
      <c r="G17" s="15">
        <v>703315.16505184001</v>
      </c>
    </row>
    <row r="18" spans="1:7" x14ac:dyDescent="0.2">
      <c r="A18" s="13">
        <v>1</v>
      </c>
      <c r="B18" s="15">
        <v>30.143529900000001</v>
      </c>
      <c r="C18" s="15">
        <v>0.60287059799999998</v>
      </c>
      <c r="D18" s="15">
        <v>-1.23013233</v>
      </c>
      <c r="E18" s="15">
        <v>1.3600275500000001</v>
      </c>
      <c r="F18" s="15">
        <v>2.5901598799999999</v>
      </c>
      <c r="G18" s="15">
        <v>703430.12697888003</v>
      </c>
    </row>
    <row r="19" spans="1:7" x14ac:dyDescent="0.2">
      <c r="A19" s="13">
        <v>1.1000000000000001</v>
      </c>
      <c r="B19" s="15">
        <v>28.163187300000001</v>
      </c>
      <c r="C19" s="15">
        <v>0.56326374599999995</v>
      </c>
      <c r="D19" s="15">
        <v>-1.23315172</v>
      </c>
      <c r="E19" s="15">
        <v>1.36313643</v>
      </c>
      <c r="F19" s="15">
        <v>2.5962881499999999</v>
      </c>
      <c r="G19" s="15">
        <v>705041.56596031995</v>
      </c>
    </row>
    <row r="20" spans="1:7" x14ac:dyDescent="0.2">
      <c r="A20" s="13">
        <v>1.2</v>
      </c>
      <c r="B20" s="15">
        <v>27.271750300000001</v>
      </c>
      <c r="C20" s="15">
        <v>0.54543500700000003</v>
      </c>
      <c r="D20" s="15">
        <v>-1.23512076</v>
      </c>
      <c r="E20" s="15">
        <v>1.3653138300000001</v>
      </c>
      <c r="F20" s="15">
        <v>2.6004345899999999</v>
      </c>
      <c r="G20" s="15">
        <v>706167.74880576006</v>
      </c>
    </row>
    <row r="21" spans="1:7" x14ac:dyDescent="0.2">
      <c r="A21" s="13">
        <v>1.3</v>
      </c>
      <c r="B21" s="15">
        <v>27.064133300000002</v>
      </c>
      <c r="C21" s="15">
        <v>0.54128266700000005</v>
      </c>
      <c r="D21" s="15">
        <v>-1.2358302699999999</v>
      </c>
      <c r="E21" s="15">
        <v>1.3666782900000001</v>
      </c>
      <c r="F21" s="15">
        <v>2.60250856</v>
      </c>
      <c r="G21" s="15">
        <v>706864.69124191999</v>
      </c>
    </row>
    <row r="22" spans="1:7" x14ac:dyDescent="0.2">
      <c r="A22" s="13">
        <v>1.4</v>
      </c>
      <c r="B22" s="15">
        <v>26.9307166</v>
      </c>
      <c r="C22" s="15">
        <v>0.538614331</v>
      </c>
      <c r="D22" s="15">
        <v>-1.23632594</v>
      </c>
      <c r="E22" s="15">
        <v>1.3679738299999999</v>
      </c>
      <c r="F22" s="15">
        <v>2.6042997699999999</v>
      </c>
      <c r="G22" s="15">
        <v>707523.45149824</v>
      </c>
    </row>
    <row r="23" spans="1:7" x14ac:dyDescent="0.2">
      <c r="A23" s="13">
        <v>1.5</v>
      </c>
      <c r="B23" s="15">
        <v>26.836942199999999</v>
      </c>
      <c r="C23" s="15">
        <v>0.53673884500000002</v>
      </c>
      <c r="D23" s="15">
        <v>-1.23627167</v>
      </c>
      <c r="E23" s="15">
        <v>1.36900255</v>
      </c>
      <c r="F23" s="15">
        <v>2.6052742200000001</v>
      </c>
      <c r="G23" s="15">
        <v>708039.04297312</v>
      </c>
    </row>
    <row r="24" spans="1:7" x14ac:dyDescent="0.2">
      <c r="A24" s="13">
        <v>1.6</v>
      </c>
      <c r="B24" s="15">
        <v>26.7396341</v>
      </c>
      <c r="C24" s="15">
        <v>0.53479268099999999</v>
      </c>
      <c r="D24" s="15">
        <v>-1.2366538</v>
      </c>
      <c r="E24" s="15">
        <v>1.3701829599999999</v>
      </c>
      <c r="F24" s="15">
        <v>2.6068367600000002</v>
      </c>
      <c r="G24" s="15">
        <v>708638.09855360002</v>
      </c>
    </row>
    <row r="25" spans="1:7" x14ac:dyDescent="0.2">
      <c r="A25" s="13">
        <v>1.7</v>
      </c>
      <c r="B25" s="15">
        <v>26.6098049</v>
      </c>
      <c r="C25" s="15">
        <v>0.53219609800000001</v>
      </c>
      <c r="D25" s="15">
        <v>-1.23691343</v>
      </c>
      <c r="E25" s="15">
        <v>1.37007404</v>
      </c>
      <c r="F25" s="15">
        <v>2.60698747</v>
      </c>
      <c r="G25" s="15">
        <v>708587.75716767996</v>
      </c>
    </row>
    <row r="26" spans="1:7" x14ac:dyDescent="0.2">
      <c r="A26" s="13">
        <v>1.8</v>
      </c>
      <c r="B26" s="15">
        <v>26.498746100000002</v>
      </c>
      <c r="C26" s="15">
        <v>0.52997492099999999</v>
      </c>
      <c r="D26" s="15">
        <v>-1.2370676300000001</v>
      </c>
      <c r="E26" s="15">
        <v>1.3698827899999999</v>
      </c>
      <c r="F26" s="15">
        <v>2.60695042</v>
      </c>
      <c r="G26" s="15">
        <v>708494.31505888002</v>
      </c>
    </row>
    <row r="27" spans="1:7" x14ac:dyDescent="0.2">
      <c r="A27" s="13">
        <v>1.9</v>
      </c>
      <c r="B27" s="15">
        <v>26.406585199999999</v>
      </c>
      <c r="C27" s="15">
        <v>0.52813170399999998</v>
      </c>
      <c r="D27" s="15">
        <v>-1.2371651800000001</v>
      </c>
      <c r="E27" s="15">
        <v>1.3696979</v>
      </c>
      <c r="F27" s="15">
        <v>2.6068630800000001</v>
      </c>
      <c r="G27" s="15">
        <v>708403.11808448005</v>
      </c>
    </row>
    <row r="28" spans="1:7" x14ac:dyDescent="0.2">
      <c r="A28" s="13">
        <v>2</v>
      </c>
      <c r="B28" s="15">
        <v>26.323490700000001</v>
      </c>
      <c r="C28" s="15">
        <v>0.52646981500000001</v>
      </c>
      <c r="D28" s="15">
        <v>-1.2373056499999999</v>
      </c>
      <c r="E28" s="15">
        <v>1.3696501599999999</v>
      </c>
      <c r="F28" s="15">
        <v>2.6069558100000001</v>
      </c>
      <c r="G28" s="15">
        <v>708381.49969119998</v>
      </c>
    </row>
    <row r="29" spans="1:7" x14ac:dyDescent="0.2">
      <c r="A29" s="14"/>
      <c r="B29" s="14"/>
      <c r="C29" s="14"/>
      <c r="D29" s="14"/>
      <c r="E29" s="14"/>
      <c r="F29" s="14"/>
      <c r="G29" s="14"/>
    </row>
    <row r="30" spans="1:7" x14ac:dyDescent="0.2">
      <c r="A30" s="13" t="s">
        <v>4</v>
      </c>
      <c r="B30" s="13" t="s">
        <v>1</v>
      </c>
      <c r="C30" s="13" t="s">
        <v>19</v>
      </c>
      <c r="D30" s="13" t="s">
        <v>18</v>
      </c>
      <c r="E30" s="13" t="s">
        <v>17</v>
      </c>
      <c r="F30" s="13" t="s">
        <v>15</v>
      </c>
      <c r="G30" s="14"/>
    </row>
    <row r="31" spans="1:7" x14ac:dyDescent="0.2">
      <c r="A31" s="13">
        <v>1</v>
      </c>
      <c r="B31" s="15">
        <v>0.60660325699999995</v>
      </c>
      <c r="C31" s="15">
        <v>-0.81992905599999999</v>
      </c>
      <c r="D31" s="15">
        <v>0.94961935799999997</v>
      </c>
      <c r="E31" s="15">
        <v>1.769548414</v>
      </c>
      <c r="F31" s="15">
        <v>490507.21994585602</v>
      </c>
      <c r="G31" s="14"/>
    </row>
    <row r="32" spans="1:7" x14ac:dyDescent="0.2">
      <c r="A32" s="13">
        <v>1.5</v>
      </c>
      <c r="B32" s="15">
        <v>0.60415378200000003</v>
      </c>
      <c r="C32" s="15">
        <v>-1.0250404</v>
      </c>
      <c r="D32" s="15">
        <v>1.1548647999999999</v>
      </c>
      <c r="E32" s="15">
        <v>2.1799051999999999</v>
      </c>
      <c r="F32" s="15">
        <v>596989.59491840005</v>
      </c>
      <c r="G32" s="14"/>
    </row>
    <row r="33" spans="1:7" x14ac:dyDescent="0.2">
      <c r="A33" s="13">
        <v>2</v>
      </c>
      <c r="B33" s="15">
        <v>0.60287156399999997</v>
      </c>
      <c r="C33" s="15">
        <v>-1.2301293099999999</v>
      </c>
      <c r="D33" s="15">
        <v>1.36002544</v>
      </c>
      <c r="E33" s="15">
        <v>2.59015475</v>
      </c>
      <c r="F33" s="15">
        <v>703429.01704735996</v>
      </c>
      <c r="G33" s="14"/>
    </row>
    <row r="34" spans="1:7" x14ac:dyDescent="0.2">
      <c r="A34" s="13">
        <v>2.5</v>
      </c>
      <c r="B34" s="15">
        <v>0.602173034</v>
      </c>
      <c r="C34" s="15">
        <v>-1.4352029500000001</v>
      </c>
      <c r="D34" s="15">
        <v>1.5651383299999999</v>
      </c>
      <c r="E34" s="15">
        <v>3.0003412800000002</v>
      </c>
      <c r="F34" s="15">
        <v>809844.20929759997</v>
      </c>
      <c r="G34" s="14"/>
    </row>
    <row r="35" spans="1:7" x14ac:dyDescent="0.2">
      <c r="A35" s="13">
        <v>3</v>
      </c>
      <c r="B35" s="15">
        <v>0.60176305900000004</v>
      </c>
      <c r="C35" s="15">
        <v>-1.6402670699999999</v>
      </c>
      <c r="D35" s="15">
        <v>1.77022557</v>
      </c>
      <c r="E35" s="15">
        <v>3.4104926400000002</v>
      </c>
      <c r="F35" s="15">
        <v>916246.36386912002</v>
      </c>
      <c r="G35" s="14"/>
    </row>
    <row r="36" spans="1:7" x14ac:dyDescent="0.2">
      <c r="A36" s="13">
        <v>3.5</v>
      </c>
      <c r="B36" s="15">
        <v>0.60150464800000003</v>
      </c>
      <c r="C36" s="15">
        <v>-1.8453253999999999</v>
      </c>
      <c r="D36" s="15">
        <v>1.9752985199999999</v>
      </c>
      <c r="E36" s="15">
        <v>3.8206239200000001</v>
      </c>
      <c r="F36" s="15">
        <v>1022641.246816</v>
      </c>
      <c r="G36" s="14"/>
    </row>
    <row r="37" spans="1:7" x14ac:dyDescent="0.2">
      <c r="A37" s="13">
        <v>4</v>
      </c>
      <c r="B37" s="15">
        <v>0.601331752</v>
      </c>
      <c r="C37" s="15">
        <v>-2.0503801099999999</v>
      </c>
      <c r="D37" s="15">
        <v>2.1803630300000001</v>
      </c>
      <c r="E37" s="15">
        <v>4.2307431400000004</v>
      </c>
      <c r="F37" s="15">
        <v>1129031.83162336</v>
      </c>
      <c r="G37" s="14"/>
    </row>
    <row r="38" spans="1:7" x14ac:dyDescent="0.2">
      <c r="A38" s="13">
        <v>4.5</v>
      </c>
      <c r="B38" s="15">
        <v>0.60121032399999996</v>
      </c>
      <c r="C38" s="15">
        <v>-2.2554324499999998</v>
      </c>
      <c r="D38" s="15">
        <v>2.3854222599999999</v>
      </c>
      <c r="E38" s="15">
        <v>4.6408547100000002</v>
      </c>
      <c r="F38" s="15">
        <v>1235419.725784</v>
      </c>
      <c r="G38" s="14"/>
    </row>
    <row r="39" spans="1:7" x14ac:dyDescent="0.2">
      <c r="A39" s="13">
        <v>5</v>
      </c>
      <c r="B39" s="15">
        <v>0.60112161399999997</v>
      </c>
      <c r="C39" s="15">
        <v>-2.46048321</v>
      </c>
      <c r="D39" s="15">
        <v>2.5904780500000002</v>
      </c>
      <c r="E39" s="15">
        <v>5.0509612600000002</v>
      </c>
      <c r="F39" s="15">
        <v>1341805.86634656</v>
      </c>
      <c r="G39" s="14"/>
    </row>
    <row r="40" spans="1:7" x14ac:dyDescent="0.2">
      <c r="A40" s="13"/>
      <c r="B40" s="15"/>
      <c r="C40" s="15"/>
      <c r="D40" s="15"/>
      <c r="E40" s="15"/>
      <c r="F40" s="15"/>
      <c r="G40" s="14"/>
    </row>
    <row r="41" spans="1:7" x14ac:dyDescent="0.2">
      <c r="A41" s="13"/>
      <c r="B41" s="15"/>
      <c r="C41" s="15"/>
      <c r="D41" s="15"/>
      <c r="E41" s="15"/>
      <c r="F41" s="15"/>
      <c r="G41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PivotTables&amp;Charts</vt:lpstr>
      <vt:lpstr>LookUp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Jafri</dc:creator>
  <cp:lastModifiedBy>Hassan Jafri</cp:lastModifiedBy>
  <dcterms:created xsi:type="dcterms:W3CDTF">2026-08-09T20:48:19Z</dcterms:created>
  <dcterms:modified xsi:type="dcterms:W3CDTF">2026-08-10T02:55:47Z</dcterms:modified>
</cp:coreProperties>
</file>